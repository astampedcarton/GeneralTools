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My Drive\Pharma_Life\VBA\TimeZones\"/>
    </mc:Choice>
  </mc:AlternateContent>
  <xr:revisionPtr revIDLastSave="0" documentId="13_ncr:1_{8687E3AA-EBC2-48CB-8713-A7A8291F4FE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TimeZone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1" l="1"/>
  <c r="G10" i="1"/>
  <c r="G11" i="1"/>
  <c r="G12" i="1"/>
  <c r="G13" i="1"/>
  <c r="F2" i="1"/>
  <c r="F3" i="1" l="1"/>
  <c r="G3" i="1" s="1"/>
  <c r="F7" i="1"/>
  <c r="G7" i="1" s="1"/>
  <c r="F4" i="1"/>
  <c r="G4" i="1" s="1"/>
  <c r="F6" i="1"/>
  <c r="G6" i="1" s="1"/>
  <c r="F5" i="1"/>
  <c r="G5" i="1" s="1"/>
  <c r="F8" i="1"/>
  <c r="G8" i="1" s="1"/>
  <c r="H3" i="1" l="1"/>
  <c r="H8" i="1"/>
  <c r="H7" i="1"/>
  <c r="H6" i="1"/>
  <c r="H5" i="1"/>
  <c r="H4" i="1"/>
</calcChain>
</file>

<file path=xl/sharedStrings.xml><?xml version="1.0" encoding="utf-8"?>
<sst xmlns="http://schemas.openxmlformats.org/spreadsheetml/2006/main" count="15" uniqueCount="15">
  <si>
    <t>City</t>
  </si>
  <si>
    <t>North Carolina</t>
  </si>
  <si>
    <t>UK</t>
  </si>
  <si>
    <t>Germany</t>
  </si>
  <si>
    <t xml:space="preserve">GMT Time </t>
  </si>
  <si>
    <t>South Africa (Your Time Zone)</t>
  </si>
  <si>
    <t>Bangalore</t>
  </si>
  <si>
    <t>Work Hours Status</t>
  </si>
  <si>
    <t>Team Member(s)</t>
  </si>
  <si>
    <t>Current Time</t>
  </si>
  <si>
    <t>China (Beijing)</t>
  </si>
  <si>
    <t>Notes</t>
  </si>
  <si>
    <t>ST HR</t>
  </si>
  <si>
    <t>EN HR</t>
  </si>
  <si>
    <t>GMT+/-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</si>
</sst>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h:mm:ss;@"/>
  </numFmts>
  <fonts count="7" x14ac:knownFonts="1"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rgb="FF008000"/>
      <name val="Calibri"/>
      <family val="2"/>
    </font>
    <font>
      <b/>
      <sz val="11"/>
      <color rgb="FF8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darkGray">
        <bgColor theme="3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wrapText="1"/>
    </xf>
    <xf numFmtId="0" fontId="1" fillId="2" borderId="0" xfId="0" applyFont="1" applyFill="1"/>
    <xf numFmtId="0" fontId="1" fillId="3" borderId="0" xfId="0" applyFont="1" applyFill="1"/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Font="1"/>
    <xf numFmtId="0" fontId="1" fillId="3" borderId="0" xfId="0" applyNumberFormat="1" applyFont="1" applyFill="1" applyAlignment="1">
      <alignment wrapText="1"/>
    </xf>
    <xf numFmtId="164" fontId="1" fillId="2" borderId="0" xfId="0" applyNumberFormat="1" applyFont="1" applyFill="1" applyAlignment="1">
      <alignment wrapText="1"/>
    </xf>
    <xf numFmtId="164" fontId="0" fillId="0" borderId="0" xfId="0" applyNumberFormat="1" applyAlignment="1">
      <alignment wrapText="1"/>
    </xf>
    <xf numFmtId="0" fontId="0" fillId="0" borderId="0" xfId="0" applyFont="1" applyAlignment="1">
      <alignment wrapText="1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center" vertical="top" textRotation="90" wrapText="1"/>
    </xf>
    <xf numFmtId="164" fontId="3" fillId="0" borderId="0" xfId="0" applyNumberFormat="1" applyFont="1" applyAlignment="1">
      <alignment vertical="top" wrapText="1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 textRotation="90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NumberFormat="1" applyFont="1" applyAlignment="1">
      <alignment wrapText="1"/>
    </xf>
    <xf numFmtId="164" fontId="4" fillId="0" borderId="0" xfId="0" applyNumberFormat="1" applyFont="1" applyAlignment="1">
      <alignment wrapText="1"/>
    </xf>
    <xf numFmtId="165" fontId="3" fillId="0" borderId="0" xfId="0" applyNumberFormat="1" applyFont="1" applyAlignment="1">
      <alignment horizontal="center" vertical="top" wrapText="1"/>
    </xf>
    <xf numFmtId="165" fontId="1" fillId="2" borderId="0" xfId="0" applyNumberFormat="1" applyFont="1" applyFill="1" applyAlignment="1">
      <alignment horizontal="center" vertical="top"/>
    </xf>
    <xf numFmtId="165" fontId="4" fillId="0" borderId="0" xfId="0" applyNumberFormat="1" applyFont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165" fontId="0" fillId="0" borderId="0" xfId="0" applyNumberFormat="1" applyAlignment="1">
      <alignment horizontal="center" vertical="top"/>
    </xf>
  </cellXfs>
  <cellStyles count="1">
    <cellStyle name="Normal" xfId="0" builtinId="0"/>
  </cellStyles>
  <dxfs count="10">
    <dxf>
      <numFmt numFmtId="164" formatCode="[$-F400]h:mm:ss\ AM/PM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65" formatCode="hh:mm:ss;@"/>
      <alignment horizontal="center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indent="0" justifyLastLine="0" shrinkToFit="0" readingOrder="0"/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7" tint="-0.24994659260841701"/>
      </font>
      <fill>
        <patternFill>
          <bgColor theme="7" tint="0.59996337778862885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0</xdr:rowOff>
        </xdr:from>
        <xdr:to>
          <xdr:col>8</xdr:col>
          <xdr:colOff>895350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Start Auto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990600</xdr:colOff>
          <xdr:row>2</xdr:row>
          <xdr:rowOff>190500</xdr:rowOff>
        </xdr:from>
        <xdr:to>
          <xdr:col>8</xdr:col>
          <xdr:colOff>1819275</xdr:colOff>
          <xdr:row>7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Stop Auto 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H13" insertRowShift="1" totalsRowShown="0" headerRowDxfId="5">
  <autoFilter ref="A1:H13" xr:uid="{00000000-0009-0000-0100-000001000000}"/>
  <tableColumns count="8">
    <tableColumn id="1" xr3:uid="{00000000-0010-0000-0000-000001000000}" name="City"/>
    <tableColumn id="7" xr3:uid="{00000000-0010-0000-0000-000007000000}" name="Team Member(s)"/>
    <tableColumn id="2" xr3:uid="{00000000-0010-0000-0000-000002000000}" name="GMT+/-" dataDxfId="4"/>
    <tableColumn id="9" xr3:uid="{00000000-0010-0000-0000-000009000000}" name="ST HR"/>
    <tableColumn id="10" xr3:uid="{00000000-0010-0000-0000-00000A000000}" name="EN HR" dataDxfId="3"/>
    <tableColumn id="3" xr3:uid="{00000000-0010-0000-0000-000003000000}" name="Current Time" dataDxfId="2"/>
    <tableColumn id="5" xr3:uid="{00000000-0010-0000-0000-000005000000}" name="Work Hours Status" dataDxfId="1">
      <calculatedColumnFormula>IF((F2&gt;TIME(17,0,0)),"Check Hours","")</calculatedColumnFormula>
    </tableColumn>
    <tableColumn id="6" xr3:uid="{00000000-0010-0000-0000-000006000000}" name="No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5"/>
  <sheetViews>
    <sheetView tabSelected="1" workbookViewId="0">
      <selection activeCell="A3" sqref="A3:A8"/>
    </sheetView>
  </sheetViews>
  <sheetFormatPr defaultRowHeight="15" x14ac:dyDescent="0.25"/>
  <cols>
    <col min="1" max="1" width="27.5703125" customWidth="1"/>
    <col min="2" max="2" width="28" customWidth="1"/>
    <col min="3" max="3" width="5.5703125" style="12" customWidth="1"/>
    <col min="4" max="5" width="3.7109375" customWidth="1"/>
    <col min="6" max="6" width="13.7109375" style="26" customWidth="1"/>
    <col min="7" max="7" width="24.42578125" style="1" customWidth="1"/>
    <col min="8" max="8" width="24.42578125" style="9" customWidth="1"/>
    <col min="9" max="9" width="27.5703125" customWidth="1"/>
    <col min="10" max="10" width="45.7109375" style="1" customWidth="1"/>
  </cols>
  <sheetData>
    <row r="1" spans="1:10" s="16" customFormat="1" ht="66" customHeight="1" x14ac:dyDescent="0.25">
      <c r="A1" s="13" t="s">
        <v>0</v>
      </c>
      <c r="B1" s="13" t="s">
        <v>8</v>
      </c>
      <c r="C1" s="14" t="s">
        <v>14</v>
      </c>
      <c r="D1" s="17" t="s">
        <v>12</v>
      </c>
      <c r="E1" s="17" t="s">
        <v>13</v>
      </c>
      <c r="F1" s="22" t="s">
        <v>9</v>
      </c>
      <c r="G1" s="13" t="s">
        <v>7</v>
      </c>
      <c r="H1" s="15" t="s">
        <v>11</v>
      </c>
    </row>
    <row r="2" spans="1:10" s="4" customFormat="1" ht="23.25" x14ac:dyDescent="0.35">
      <c r="A2" s="2" t="s">
        <v>4</v>
      </c>
      <c r="B2" s="3"/>
      <c r="C2" s="11"/>
      <c r="D2" s="3"/>
      <c r="E2" s="3"/>
      <c r="F2" s="23">
        <f ca="1">LocalTimeToUTC(NOW())</f>
        <v>44822.774328703701</v>
      </c>
      <c r="G2" s="7"/>
      <c r="H2" s="8"/>
      <c r="J2" s="5"/>
    </row>
    <row r="3" spans="1:10" s="6" customFormat="1" x14ac:dyDescent="0.25">
      <c r="A3" s="18" t="s">
        <v>5</v>
      </c>
      <c r="B3" s="18"/>
      <c r="C3" s="19">
        <v>2</v>
      </c>
      <c r="D3" s="18">
        <v>8</v>
      </c>
      <c r="E3" s="18">
        <v>17</v>
      </c>
      <c r="F3" s="24">
        <f t="shared" ref="F3:F8" ca="1" si="0">MOD(F$2+(C3/24),1)</f>
        <v>0.85766203703678912</v>
      </c>
      <c r="G3" s="20" t="str">
        <f t="shared" ref="G3:G8" ca="1" si="1">IF((F3&gt;TIME(E3,0,0)),"After Working Hours",IF(F3&lt; TIME(D3,0,0),"Not Started","Online"))</f>
        <v>After Working Hours</v>
      </c>
      <c r="H3" s="21" t="str">
        <f t="shared" ref="H3:H8" ca="1" si="2">IF(G3="Online",IF(AND(TIME(17,0,0)-F3&gt;0,TIME(17,0,0)-F3&lt;=0.021),"Will be off line shortly",""),"")</f>
        <v/>
      </c>
      <c r="J3" s="10"/>
    </row>
    <row r="4" spans="1:10" s="6" customFormat="1" x14ac:dyDescent="0.25">
      <c r="A4" s="18" t="s">
        <v>10</v>
      </c>
      <c r="B4" s="18"/>
      <c r="C4" s="19">
        <v>8</v>
      </c>
      <c r="D4" s="18">
        <v>8</v>
      </c>
      <c r="E4" s="18">
        <v>17</v>
      </c>
      <c r="F4" s="24">
        <f t="shared" ca="1" si="0"/>
        <v>0.10766203703678912</v>
      </c>
      <c r="G4" s="20" t="str">
        <f t="shared" ca="1" si="1"/>
        <v>Not Started</v>
      </c>
      <c r="H4" s="21" t="str">
        <f t="shared" ca="1" si="2"/>
        <v/>
      </c>
      <c r="J4" s="10"/>
    </row>
    <row r="5" spans="1:10" s="6" customFormat="1" x14ac:dyDescent="0.25">
      <c r="A5" s="18" t="s">
        <v>6</v>
      </c>
      <c r="B5" s="18"/>
      <c r="C5" s="19">
        <v>3.5</v>
      </c>
      <c r="D5" s="18">
        <v>8</v>
      </c>
      <c r="E5" s="18">
        <v>17</v>
      </c>
      <c r="F5" s="24">
        <f t="shared" ca="1" si="0"/>
        <v>0.92016203703678912</v>
      </c>
      <c r="G5" s="20" t="str">
        <f t="shared" ca="1" si="1"/>
        <v>After Working Hours</v>
      </c>
      <c r="H5" s="21" t="str">
        <f t="shared" ca="1" si="2"/>
        <v/>
      </c>
      <c r="J5" s="10"/>
    </row>
    <row r="6" spans="1:10" s="6" customFormat="1" x14ac:dyDescent="0.25">
      <c r="A6" s="18" t="s">
        <v>2</v>
      </c>
      <c r="B6" s="18"/>
      <c r="C6" s="19">
        <v>0</v>
      </c>
      <c r="D6" s="18">
        <v>8</v>
      </c>
      <c r="E6" s="18">
        <v>17</v>
      </c>
      <c r="F6" s="24">
        <f t="shared" ca="1" si="0"/>
        <v>0.77432870370103046</v>
      </c>
      <c r="G6" s="20" t="str">
        <f t="shared" ca="1" si="1"/>
        <v>After Working Hours</v>
      </c>
      <c r="H6" s="21" t="str">
        <f t="shared" ca="1" si="2"/>
        <v/>
      </c>
      <c r="J6" s="10"/>
    </row>
    <row r="7" spans="1:10" s="6" customFormat="1" x14ac:dyDescent="0.25">
      <c r="A7" s="18" t="s">
        <v>3</v>
      </c>
      <c r="B7" s="18"/>
      <c r="C7" s="19">
        <v>1</v>
      </c>
      <c r="D7" s="18">
        <v>8</v>
      </c>
      <c r="E7" s="18">
        <v>17</v>
      </c>
      <c r="F7" s="24">
        <f t="shared" ca="1" si="0"/>
        <v>0.81599537036527181</v>
      </c>
      <c r="G7" s="20" t="str">
        <f t="shared" ca="1" si="1"/>
        <v>After Working Hours</v>
      </c>
      <c r="H7" s="21" t="str">
        <f t="shared" ca="1" si="2"/>
        <v/>
      </c>
      <c r="J7" s="10"/>
    </row>
    <row r="8" spans="1:10" s="6" customFormat="1" x14ac:dyDescent="0.25">
      <c r="A8" s="18" t="s">
        <v>1</v>
      </c>
      <c r="B8" s="18"/>
      <c r="C8" s="19">
        <v>-8</v>
      </c>
      <c r="D8" s="18">
        <v>9</v>
      </c>
      <c r="E8" s="18">
        <v>17</v>
      </c>
      <c r="F8" s="24">
        <f t="shared" ca="1" si="0"/>
        <v>0.44099537036527181</v>
      </c>
      <c r="G8" s="20" t="str">
        <f t="shared" ca="1" si="1"/>
        <v>Online</v>
      </c>
      <c r="H8" s="21" t="str">
        <f t="shared" ca="1" si="2"/>
        <v/>
      </c>
      <c r="J8" s="10"/>
    </row>
    <row r="9" spans="1:10" s="6" customFormat="1" x14ac:dyDescent="0.25">
      <c r="A9" s="18"/>
      <c r="B9" s="18"/>
      <c r="C9" s="19"/>
      <c r="D9" s="18"/>
      <c r="E9" s="18"/>
      <c r="F9" s="24"/>
      <c r="G9" s="20" t="str">
        <f>IF((F9&gt;TIME(17,0,0)),"Check Hours","")</f>
        <v/>
      </c>
      <c r="H9" s="21"/>
      <c r="J9" s="10"/>
    </row>
    <row r="10" spans="1:10" s="6" customFormat="1" x14ac:dyDescent="0.25">
      <c r="A10" s="18"/>
      <c r="B10" s="18"/>
      <c r="C10" s="19"/>
      <c r="D10" s="18"/>
      <c r="E10" s="18"/>
      <c r="F10" s="24"/>
      <c r="G10" s="20" t="str">
        <f>IF((F10&gt;TIME(17,0,0)),"Check Hours","")</f>
        <v/>
      </c>
      <c r="H10" s="21"/>
      <c r="J10" s="10"/>
    </row>
    <row r="11" spans="1:10" s="6" customFormat="1" x14ac:dyDescent="0.25">
      <c r="A11" s="18"/>
      <c r="B11" s="18"/>
      <c r="C11" s="19"/>
      <c r="D11" s="18"/>
      <c r="E11" s="18"/>
      <c r="F11" s="24"/>
      <c r="G11" s="20" t="str">
        <f>IF((F11&gt;TIME(17,0,0)),"Check Hours","")</f>
        <v/>
      </c>
      <c r="H11" s="21"/>
      <c r="J11" s="10"/>
    </row>
    <row r="12" spans="1:10" s="6" customFormat="1" x14ac:dyDescent="0.25">
      <c r="A12" s="18"/>
      <c r="B12" s="18"/>
      <c r="C12" s="19"/>
      <c r="D12" s="18"/>
      <c r="E12" s="18"/>
      <c r="F12" s="24"/>
      <c r="G12" s="20" t="str">
        <f>IF((F12&gt;TIME(17,0,0)),"Check Hours","")</f>
        <v/>
      </c>
      <c r="H12" s="21"/>
      <c r="J12" s="10"/>
    </row>
    <row r="13" spans="1:10" s="6" customFormat="1" x14ac:dyDescent="0.25">
      <c r="A13" s="18"/>
      <c r="B13" s="18"/>
      <c r="C13" s="19"/>
      <c r="D13" s="18"/>
      <c r="E13" s="18"/>
      <c r="F13" s="24"/>
      <c r="G13" s="20" t="str">
        <f>IF((F13&gt;TIME(17,0,0)),"After Working Hours","")</f>
        <v/>
      </c>
      <c r="H13" s="21"/>
      <c r="J13" s="10"/>
    </row>
    <row r="15" spans="1:10" x14ac:dyDescent="0.25">
      <c r="F15" s="25"/>
    </row>
  </sheetData>
  <conditionalFormatting sqref="H3:H13">
    <cfRule type="cellIs" dxfId="9" priority="4" operator="equal">
      <formula>"Will be off line shortly"</formula>
    </cfRule>
  </conditionalFormatting>
  <conditionalFormatting sqref="G3:G13">
    <cfRule type="cellIs" dxfId="8" priority="1" operator="equal">
      <formula>"Not Started"</formula>
    </cfRule>
    <cfRule type="cellIs" dxfId="7" priority="2" operator="equal">
      <formula>"After Working Hours"</formula>
    </cfRule>
    <cfRule type="cellIs" dxfId="6" priority="3" operator="equal">
      <formula>"Online"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_range">
                <anchor moveWithCells="1" sizeWithCells="1">
                  <from>
                    <xdr:col>8</xdr:col>
                    <xdr:colOff>38100</xdr:colOff>
                    <xdr:row>3</xdr:row>
                    <xdr:rowOff>0</xdr:rowOff>
                  </from>
                  <to>
                    <xdr:col>8</xdr:col>
                    <xdr:colOff>895350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opTimer_Click">
                <anchor moveWithCells="1" sizeWithCells="1">
                  <from>
                    <xdr:col>8</xdr:col>
                    <xdr:colOff>990600</xdr:colOff>
                    <xdr:row>2</xdr:row>
                    <xdr:rowOff>190500</xdr:rowOff>
                  </from>
                  <to>
                    <xdr:col>8</xdr:col>
                    <xdr:colOff>1819275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TimeZones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Hentie du Plessis</dc:creator>
  <cp:lastModifiedBy>Hentie du Plessis</cp:lastModifiedBy>
  <dcterms:created xsi:type="dcterms:W3CDTF">2021-01-03T14:15:19Z</dcterms:created>
  <dcterms:modified xsi:type="dcterms:W3CDTF">2022-09-18T18:35:25Z</dcterms:modified>
</cp:coreProperties>
</file>